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source\repos\propeller-acoustics\theory\"/>
    </mc:Choice>
  </mc:AlternateContent>
  <xr:revisionPtr revIDLastSave="0" documentId="8_{BA476FDD-5DC4-49F2-8260-7498792A4F80}" xr6:coauthVersionLast="47" xr6:coauthVersionMax="47" xr10:uidLastSave="{00000000-0000-0000-0000-000000000000}"/>
  <bookViews>
    <workbookView xWindow="-98" yWindow="-98" windowWidth="28996" windowHeight="15675" xr2:uid="{9A8C249E-654E-4DF1-B1BC-4F0B7C8B2B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C32" i="1"/>
  <c r="D32" i="1"/>
  <c r="E32" i="1"/>
  <c r="F32" i="1"/>
  <c r="G32" i="1"/>
  <c r="H32" i="1"/>
  <c r="B33" i="1"/>
  <c r="C33" i="1" s="1"/>
  <c r="H8" i="1"/>
  <c r="B9" i="1"/>
  <c r="B8" i="1"/>
  <c r="H7" i="1"/>
  <c r="C7" i="1"/>
  <c r="G7" i="1" s="1"/>
  <c r="D2" i="1"/>
  <c r="D33" i="1" l="1"/>
  <c r="E33" i="1" s="1"/>
  <c r="F33" i="1" s="1"/>
  <c r="G33" i="1"/>
  <c r="D7" i="1"/>
  <c r="E7" i="1" s="1"/>
  <c r="F7" i="1" s="1"/>
  <c r="C8" i="1" s="1"/>
  <c r="H33" i="1" l="1"/>
  <c r="B34" i="1" s="1"/>
  <c r="C34" i="1" s="1"/>
  <c r="D8" i="1"/>
  <c r="E8" i="1" s="1"/>
  <c r="F8" i="1" s="1"/>
  <c r="G8" i="1"/>
  <c r="D34" i="1" l="1"/>
  <c r="E34" i="1" s="1"/>
  <c r="F34" i="1" s="1"/>
  <c r="H34" i="1" s="1"/>
  <c r="B35" i="1" s="1"/>
  <c r="C35" i="1" s="1"/>
  <c r="G34" i="1"/>
  <c r="C9" i="1"/>
  <c r="D9" i="1" s="1"/>
  <c r="E9" i="1" s="1"/>
  <c r="F9" i="1" s="1"/>
  <c r="G35" i="1" l="1"/>
  <c r="D35" i="1"/>
  <c r="E35" i="1" s="1"/>
  <c r="F35" i="1" s="1"/>
  <c r="H35" i="1" s="1"/>
  <c r="B36" i="1" s="1"/>
  <c r="C36" i="1" s="1"/>
  <c r="G9" i="1"/>
  <c r="H9" i="1" s="1"/>
  <c r="B10" i="1" s="1"/>
  <c r="G36" i="1" l="1"/>
  <c r="D36" i="1"/>
  <c r="E36" i="1" s="1"/>
  <c r="F36" i="1" s="1"/>
  <c r="H36" i="1" s="1"/>
  <c r="B37" i="1" s="1"/>
  <c r="C37" i="1" s="1"/>
  <c r="C10" i="1"/>
  <c r="G37" i="1" l="1"/>
  <c r="D37" i="1"/>
  <c r="E37" i="1" s="1"/>
  <c r="F37" i="1" s="1"/>
  <c r="H37" i="1" s="1"/>
  <c r="B38" i="1" s="1"/>
  <c r="C38" i="1" s="1"/>
  <c r="D10" i="1"/>
  <c r="E10" i="1" s="1"/>
  <c r="F10" i="1" s="1"/>
  <c r="G10" i="1"/>
  <c r="D38" i="1" l="1"/>
  <c r="E38" i="1" s="1"/>
  <c r="F38" i="1" s="1"/>
  <c r="G38" i="1"/>
  <c r="H10" i="1"/>
  <c r="B11" i="1" s="1"/>
  <c r="H38" i="1" l="1"/>
  <c r="B39" i="1" s="1"/>
  <c r="C39" i="1" s="1"/>
  <c r="C11" i="1"/>
  <c r="D39" i="1" l="1"/>
  <c r="E39" i="1" s="1"/>
  <c r="F39" i="1" s="1"/>
  <c r="G39" i="1"/>
  <c r="D11" i="1"/>
  <c r="E11" i="1" s="1"/>
  <c r="F11" i="1" s="1"/>
  <c r="H11" i="1" s="1"/>
  <c r="B12" i="1" s="1"/>
  <c r="G11" i="1"/>
  <c r="H39" i="1" l="1"/>
  <c r="B40" i="1" s="1"/>
  <c r="C40" i="1" s="1"/>
  <c r="C12" i="1"/>
  <c r="D40" i="1" l="1"/>
  <c r="E40" i="1" s="1"/>
  <c r="F40" i="1" s="1"/>
  <c r="G40" i="1"/>
  <c r="D12" i="1"/>
  <c r="E12" i="1" s="1"/>
  <c r="F12" i="1" s="1"/>
  <c r="G12" i="1"/>
  <c r="H40" i="1" l="1"/>
  <c r="B41" i="1" s="1"/>
  <c r="C41" i="1" s="1"/>
  <c r="H12" i="1"/>
  <c r="B13" i="1" s="1"/>
  <c r="G41" i="1" l="1"/>
  <c r="D41" i="1"/>
  <c r="E41" i="1" s="1"/>
  <c r="F41" i="1" s="1"/>
  <c r="H41" i="1" s="1"/>
  <c r="B42" i="1" s="1"/>
  <c r="C42" i="1" s="1"/>
  <c r="C13" i="1"/>
  <c r="D42" i="1" l="1"/>
  <c r="E42" i="1" s="1"/>
  <c r="F42" i="1" s="1"/>
  <c r="H42" i="1" s="1"/>
  <c r="B43" i="1" s="1"/>
  <c r="C43" i="1" s="1"/>
  <c r="G42" i="1"/>
  <c r="D13" i="1"/>
  <c r="E13" i="1" s="1"/>
  <c r="F13" i="1" s="1"/>
  <c r="G13" i="1"/>
  <c r="G43" i="1" l="1"/>
  <c r="D43" i="1"/>
  <c r="E43" i="1" s="1"/>
  <c r="F43" i="1" s="1"/>
  <c r="H43" i="1" s="1"/>
  <c r="B44" i="1" s="1"/>
  <c r="C44" i="1" s="1"/>
  <c r="H13" i="1"/>
  <c r="B14" i="1" s="1"/>
  <c r="G44" i="1" l="1"/>
  <c r="D44" i="1"/>
  <c r="E44" i="1" s="1"/>
  <c r="F44" i="1" s="1"/>
  <c r="H44" i="1" s="1"/>
  <c r="B45" i="1" s="1"/>
  <c r="C45" i="1" s="1"/>
  <c r="C14" i="1"/>
  <c r="G45" i="1" l="1"/>
  <c r="D45" i="1"/>
  <c r="E45" i="1" s="1"/>
  <c r="F45" i="1" s="1"/>
  <c r="H45" i="1" s="1"/>
  <c r="B46" i="1" s="1"/>
  <c r="C46" i="1" s="1"/>
  <c r="D14" i="1"/>
  <c r="E14" i="1" s="1"/>
  <c r="F14" i="1" s="1"/>
  <c r="H14" i="1" s="1"/>
  <c r="B15" i="1" s="1"/>
  <c r="G14" i="1"/>
  <c r="D46" i="1" l="1"/>
  <c r="E46" i="1" s="1"/>
  <c r="F46" i="1" s="1"/>
  <c r="G46" i="1"/>
  <c r="C15" i="1"/>
  <c r="H46" i="1" l="1"/>
  <c r="B47" i="1" s="1"/>
  <c r="C47" i="1" s="1"/>
  <c r="D15" i="1"/>
  <c r="E15" i="1" s="1"/>
  <c r="F15" i="1" s="1"/>
  <c r="G15" i="1"/>
  <c r="D47" i="1" l="1"/>
  <c r="E47" i="1" s="1"/>
  <c r="F47" i="1" s="1"/>
  <c r="H47" i="1" s="1"/>
  <c r="B48" i="1" s="1"/>
  <c r="C48" i="1" s="1"/>
  <c r="G47" i="1"/>
  <c r="H15" i="1"/>
  <c r="B16" i="1" s="1"/>
  <c r="D48" i="1" l="1"/>
  <c r="E48" i="1" s="1"/>
  <c r="F48" i="1" s="1"/>
  <c r="G48" i="1"/>
  <c r="C16" i="1"/>
  <c r="H48" i="1" l="1"/>
  <c r="B49" i="1" s="1"/>
  <c r="C49" i="1" s="1"/>
  <c r="D16" i="1"/>
  <c r="E16" i="1" s="1"/>
  <c r="F16" i="1" s="1"/>
  <c r="G16" i="1"/>
  <c r="D49" i="1" l="1"/>
  <c r="E49" i="1" s="1"/>
  <c r="F49" i="1" s="1"/>
  <c r="G49" i="1"/>
  <c r="H16" i="1"/>
  <c r="B17" i="1" s="1"/>
  <c r="H49" i="1" l="1"/>
  <c r="B50" i="1" s="1"/>
  <c r="C50" i="1" s="1"/>
  <c r="C17" i="1"/>
  <c r="D50" i="1" l="1"/>
  <c r="E50" i="1" s="1"/>
  <c r="F50" i="1" s="1"/>
  <c r="H50" i="1" s="1"/>
  <c r="B51" i="1" s="1"/>
  <c r="C51" i="1" s="1"/>
  <c r="G50" i="1"/>
  <c r="D17" i="1"/>
  <c r="E17" i="1" s="1"/>
  <c r="F17" i="1" s="1"/>
  <c r="H17" i="1" s="1"/>
  <c r="B18" i="1" s="1"/>
  <c r="G17" i="1"/>
  <c r="G51" i="1" l="1"/>
  <c r="D51" i="1"/>
  <c r="E51" i="1" s="1"/>
  <c r="F51" i="1" s="1"/>
  <c r="H51" i="1" s="1"/>
  <c r="B52" i="1" s="1"/>
  <c r="C52" i="1" s="1"/>
  <c r="C18" i="1"/>
  <c r="G52" i="1" l="1"/>
  <c r="D52" i="1"/>
  <c r="E52" i="1" s="1"/>
  <c r="F52" i="1" s="1"/>
  <c r="H52" i="1" s="1"/>
  <c r="B53" i="1" s="1"/>
  <c r="C53" i="1" s="1"/>
  <c r="G18" i="1"/>
  <c r="D18" i="1"/>
  <c r="E18" i="1" s="1"/>
  <c r="F18" i="1" s="1"/>
  <c r="H18" i="1" s="1"/>
  <c r="B19" i="1" s="1"/>
  <c r="G53" i="1" l="1"/>
  <c r="D53" i="1"/>
  <c r="E53" i="1" s="1"/>
  <c r="F53" i="1" s="1"/>
  <c r="H53" i="1" s="1"/>
  <c r="B54" i="1" s="1"/>
  <c r="C54" i="1" s="1"/>
  <c r="C19" i="1"/>
  <c r="D54" i="1" l="1"/>
  <c r="E54" i="1" s="1"/>
  <c r="F54" i="1" s="1"/>
  <c r="H54" i="1" s="1"/>
  <c r="B55" i="1" s="1"/>
  <c r="C55" i="1" s="1"/>
  <c r="G54" i="1"/>
  <c r="D19" i="1"/>
  <c r="E19" i="1" s="1"/>
  <c r="F19" i="1" s="1"/>
  <c r="G19" i="1"/>
  <c r="D55" i="1" l="1"/>
  <c r="E55" i="1" s="1"/>
  <c r="F55" i="1" s="1"/>
  <c r="G55" i="1"/>
  <c r="H19" i="1"/>
  <c r="B20" i="1" s="1"/>
  <c r="H55" i="1" l="1"/>
  <c r="B56" i="1" s="1"/>
  <c r="C56" i="1" s="1"/>
  <c r="C20" i="1"/>
  <c r="D56" i="1" l="1"/>
  <c r="E56" i="1" s="1"/>
  <c r="F56" i="1" s="1"/>
  <c r="G56" i="1"/>
  <c r="D20" i="1"/>
  <c r="E20" i="1" s="1"/>
  <c r="F20" i="1" s="1"/>
  <c r="G20" i="1"/>
  <c r="H56" i="1" l="1"/>
  <c r="B57" i="1" s="1"/>
  <c r="C57" i="1" s="1"/>
  <c r="H20" i="1"/>
  <c r="B21" i="1" s="1"/>
  <c r="D57" i="1" l="1"/>
  <c r="E57" i="1" s="1"/>
  <c r="F57" i="1" s="1"/>
  <c r="G57" i="1"/>
  <c r="C21" i="1"/>
  <c r="H57" i="1" l="1"/>
  <c r="B58" i="1" s="1"/>
  <c r="C58" i="1" s="1"/>
  <c r="D21" i="1"/>
  <c r="E21" i="1" s="1"/>
  <c r="F21" i="1" s="1"/>
  <c r="G21" i="1"/>
  <c r="D58" i="1" l="1"/>
  <c r="E58" i="1" s="1"/>
  <c r="F58" i="1" s="1"/>
  <c r="G58" i="1"/>
  <c r="H21" i="1"/>
  <c r="B22" i="1" s="1"/>
  <c r="H58" i="1" l="1"/>
  <c r="B59" i="1" s="1"/>
  <c r="C59" i="1" s="1"/>
  <c r="C22" i="1"/>
  <c r="G59" i="1" l="1"/>
  <c r="D59" i="1"/>
  <c r="E59" i="1" s="1"/>
  <c r="F59" i="1" s="1"/>
  <c r="H59" i="1" s="1"/>
  <c r="B60" i="1" s="1"/>
  <c r="C60" i="1" s="1"/>
  <c r="D22" i="1"/>
  <c r="E22" i="1" s="1"/>
  <c r="F22" i="1" s="1"/>
  <c r="G22" i="1"/>
  <c r="G60" i="1" l="1"/>
  <c r="D60" i="1"/>
  <c r="E60" i="1" s="1"/>
  <c r="F60" i="1" s="1"/>
  <c r="H60" i="1" s="1"/>
  <c r="B61" i="1" s="1"/>
  <c r="C61" i="1" s="1"/>
  <c r="H22" i="1"/>
  <c r="B23" i="1" s="1"/>
  <c r="G61" i="1" l="1"/>
  <c r="D61" i="1"/>
  <c r="E61" i="1" s="1"/>
  <c r="F61" i="1" s="1"/>
  <c r="H61" i="1" s="1"/>
  <c r="B62" i="1" s="1"/>
  <c r="C62" i="1" s="1"/>
  <c r="C23" i="1"/>
  <c r="D62" i="1" l="1"/>
  <c r="E62" i="1" s="1"/>
  <c r="F62" i="1" s="1"/>
  <c r="G62" i="1"/>
  <c r="D23" i="1"/>
  <c r="E23" i="1" s="1"/>
  <c r="F23" i="1" s="1"/>
  <c r="H23" i="1" s="1"/>
  <c r="B24" i="1" s="1"/>
  <c r="G23" i="1"/>
  <c r="H62" i="1" l="1"/>
  <c r="B63" i="1" s="1"/>
  <c r="C63" i="1" s="1"/>
  <c r="C24" i="1"/>
  <c r="D63" i="1" l="1"/>
  <c r="E63" i="1" s="1"/>
  <c r="F63" i="1" s="1"/>
  <c r="G63" i="1"/>
  <c r="D24" i="1"/>
  <c r="E24" i="1" s="1"/>
  <c r="F24" i="1" s="1"/>
  <c r="H24" i="1" s="1"/>
  <c r="B25" i="1" s="1"/>
  <c r="G24" i="1"/>
  <c r="H63" i="1" l="1"/>
  <c r="B64" i="1" s="1"/>
  <c r="C64" i="1" s="1"/>
  <c r="C25" i="1"/>
  <c r="D64" i="1" l="1"/>
  <c r="E64" i="1" s="1"/>
  <c r="F64" i="1" s="1"/>
  <c r="G64" i="1"/>
  <c r="G25" i="1"/>
  <c r="D25" i="1"/>
  <c r="E25" i="1" s="1"/>
  <c r="F25" i="1" s="1"/>
  <c r="H64" i="1" l="1"/>
  <c r="B65" i="1" s="1"/>
  <c r="C65" i="1" s="1"/>
  <c r="H25" i="1"/>
  <c r="B26" i="1" s="1"/>
  <c r="D65" i="1" l="1"/>
  <c r="E65" i="1" s="1"/>
  <c r="F65" i="1" s="1"/>
  <c r="G65" i="1"/>
  <c r="C26" i="1"/>
  <c r="H65" i="1" l="1"/>
  <c r="B66" i="1" s="1"/>
  <c r="C66" i="1" s="1"/>
  <c r="G26" i="1"/>
  <c r="D26" i="1"/>
  <c r="E26" i="1" s="1"/>
  <c r="F26" i="1" s="1"/>
  <c r="H26" i="1" s="1"/>
  <c r="B27" i="1" s="1"/>
  <c r="D66" i="1" l="1"/>
  <c r="E66" i="1" s="1"/>
  <c r="F66" i="1" s="1"/>
  <c r="H66" i="1" s="1"/>
  <c r="B67" i="1" s="1"/>
  <c r="C67" i="1" s="1"/>
  <c r="G66" i="1"/>
  <c r="C27" i="1"/>
  <c r="G67" i="1" l="1"/>
  <c r="D67" i="1"/>
  <c r="E67" i="1" s="1"/>
  <c r="F67" i="1" s="1"/>
  <c r="H67" i="1" s="1"/>
  <c r="D27" i="1"/>
  <c r="E27" i="1" s="1"/>
  <c r="F27" i="1" s="1"/>
  <c r="G27" i="1"/>
  <c r="H27" i="1" l="1"/>
  <c r="B28" i="1" s="1"/>
  <c r="C28" i="1" l="1"/>
  <c r="G28" i="1" l="1"/>
  <c r="D28" i="1"/>
  <c r="E28" i="1" s="1"/>
  <c r="F28" i="1" s="1"/>
  <c r="H28" i="1" s="1"/>
  <c r="B29" i="1" s="1"/>
  <c r="C29" i="1" l="1"/>
  <c r="D29" i="1" l="1"/>
  <c r="E29" i="1" s="1"/>
  <c r="F29" i="1" s="1"/>
  <c r="G29" i="1"/>
  <c r="H29" i="1" l="1"/>
  <c r="B30" i="1" s="1"/>
  <c r="C30" i="1" l="1"/>
  <c r="G30" i="1" l="1"/>
  <c r="D30" i="1"/>
  <c r="E30" i="1" s="1"/>
  <c r="F30" i="1" s="1"/>
  <c r="H30" i="1" s="1"/>
  <c r="B31" i="1" s="1"/>
  <c r="C31" i="1" s="1"/>
  <c r="G31" i="1" l="1"/>
  <c r="D31" i="1"/>
  <c r="E31" i="1" s="1"/>
  <c r="F31" i="1" s="1"/>
  <c r="H31" i="1" s="1"/>
</calcChain>
</file>

<file path=xl/sharedStrings.xml><?xml version="1.0" encoding="utf-8"?>
<sst xmlns="http://schemas.openxmlformats.org/spreadsheetml/2006/main" count="8" uniqueCount="8">
  <si>
    <t>beta</t>
  </si>
  <si>
    <t>sigma</t>
  </si>
  <si>
    <t>a</t>
  </si>
  <si>
    <t>aprime</t>
  </si>
  <si>
    <t>phi</t>
  </si>
  <si>
    <t>alpha</t>
  </si>
  <si>
    <t>Cl</t>
  </si>
  <si>
    <t>cosphi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</si>
</sst>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22A37-BBB9-4DD3-AE9E-3CEE369FE6B0}">
  <dimension ref="B2:H67"/>
  <sheetViews>
    <sheetView tabSelected="1" workbookViewId="0">
      <selection activeCell="R12" sqref="R12"/>
    </sheetView>
  </sheetViews>
  <sheetFormatPr defaultRowHeight="14.25" x14ac:dyDescent="0.45"/>
  <sheetData>
    <row r="2" spans="2:8" x14ac:dyDescent="0.45">
      <c r="B2" t="s">
        <v>0</v>
      </c>
      <c r="C2">
        <v>5</v>
      </c>
      <c r="D2">
        <f>C2*PI()/180</f>
        <v>8.7266462599716474E-2</v>
      </c>
    </row>
    <row r="3" spans="2:8" x14ac:dyDescent="0.45">
      <c r="B3" t="s">
        <v>1</v>
      </c>
      <c r="C3">
        <v>0.1</v>
      </c>
    </row>
    <row r="5" spans="2:8" x14ac:dyDescent="0.45">
      <c r="B5" t="s">
        <v>3</v>
      </c>
      <c r="C5">
        <v>0</v>
      </c>
    </row>
    <row r="6" spans="2:8" x14ac:dyDescent="0.45">
      <c r="B6" t="s">
        <v>2</v>
      </c>
      <c r="C6" t="s">
        <v>4</v>
      </c>
      <c r="D6" t="s">
        <v>5</v>
      </c>
      <c r="E6" t="s">
        <v>6</v>
      </c>
      <c r="G6" t="s">
        <v>7</v>
      </c>
    </row>
    <row r="7" spans="2:8" x14ac:dyDescent="0.45">
      <c r="B7">
        <v>0</v>
      </c>
      <c r="C7">
        <f>ATAN(B7)</f>
        <v>0</v>
      </c>
      <c r="D7">
        <f>$D$2-C7</f>
        <v>8.7266462599716474E-2</v>
      </c>
      <c r="E7">
        <f>2*PI()*D7</f>
        <v>0.54831135561607547</v>
      </c>
      <c r="F7">
        <f>E7*$C$3</f>
        <v>5.4831135561607548E-2</v>
      </c>
      <c r="G7">
        <f>COS(C7)*(1+B7^2)</f>
        <v>1</v>
      </c>
      <c r="H7">
        <f>0.5*SQRT(F7*G7)</f>
        <v>0.11708024551734544</v>
      </c>
    </row>
    <row r="8" spans="2:8" x14ac:dyDescent="0.45">
      <c r="B8">
        <f>0.1*H7+0.9*B7</f>
        <v>1.1708024551734544E-2</v>
      </c>
      <c r="C8">
        <f>ATAN(B8)</f>
        <v>1.1707489625495313E-2</v>
      </c>
      <c r="D8">
        <f>$D$2-C8</f>
        <v>7.5558972974221164E-2</v>
      </c>
      <c r="E8">
        <f>2*PI()*D8</f>
        <v>0.47475102881720588</v>
      </c>
      <c r="F8">
        <f>E8*$C$3</f>
        <v>4.7475102881720591E-2</v>
      </c>
      <c r="G8">
        <f>COS(C8)*(1+B8^2)</f>
        <v>1.0000685365708213</v>
      </c>
      <c r="H8">
        <f t="shared" ref="H8:H31" si="0">0.5*SQRT(F8*G8)</f>
        <v>0.10894764414900339</v>
      </c>
    </row>
    <row r="9" spans="2:8" x14ac:dyDescent="0.45">
      <c r="B9">
        <f t="shared" ref="B9:B31" si="1">0.1*H8+0.9*B8</f>
        <v>2.1431986511461429E-2</v>
      </c>
      <c r="C9">
        <f t="shared" ref="C9:C67" si="2">ATAN(B9)</f>
        <v>2.1428705963744299E-2</v>
      </c>
      <c r="D9">
        <f t="shared" ref="D9:D67" si="3">$D$2-C9</f>
        <v>6.5837756635972175E-2</v>
      </c>
      <c r="E9">
        <f t="shared" ref="E9:E67" si="4">2*PI()*D9</f>
        <v>0.41367082515280568</v>
      </c>
      <c r="F9">
        <f t="shared" ref="F9:F67" si="5">E9*$C$3</f>
        <v>4.1367082515280568E-2</v>
      </c>
      <c r="G9">
        <f t="shared" ref="G9:G16" si="6">COS(C9)*(1+B9^2)</f>
        <v>1.0002296386559577</v>
      </c>
      <c r="H9">
        <f t="shared" si="0"/>
        <v>0.1017061723747756</v>
      </c>
    </row>
    <row r="10" spans="2:8" x14ac:dyDescent="0.45">
      <c r="B10">
        <f t="shared" si="1"/>
        <v>2.9459405097792844E-2</v>
      </c>
      <c r="C10">
        <f t="shared" si="2"/>
        <v>2.9450887353449456E-2</v>
      </c>
      <c r="D10">
        <f t="shared" si="3"/>
        <v>5.7815575246267015E-2</v>
      </c>
      <c r="E10">
        <f t="shared" si="4"/>
        <v>0.36326597291348067</v>
      </c>
      <c r="F10">
        <f t="shared" si="5"/>
        <v>3.6326597291348066E-2</v>
      </c>
      <c r="G10">
        <f t="shared" si="6"/>
        <v>1.0004338341683152</v>
      </c>
      <c r="H10">
        <f t="shared" si="0"/>
        <v>9.5318357374736165E-2</v>
      </c>
    </row>
    <row r="11" spans="2:8" x14ac:dyDescent="0.45">
      <c r="B11">
        <f t="shared" si="1"/>
        <v>3.6045300325487181E-2</v>
      </c>
      <c r="C11">
        <f t="shared" si="2"/>
        <v>3.6029701700589681E-2</v>
      </c>
      <c r="D11">
        <f t="shared" si="3"/>
        <v>5.1236760899126793E-2</v>
      </c>
      <c r="E11">
        <f t="shared" si="4"/>
        <v>0.32193006326886697</v>
      </c>
      <c r="F11">
        <f t="shared" si="5"/>
        <v>3.2193006326886701E-2</v>
      </c>
      <c r="G11">
        <f t="shared" si="6"/>
        <v>1.0006494209639831</v>
      </c>
      <c r="H11">
        <f t="shared" si="0"/>
        <v>8.974117385582972E-2</v>
      </c>
    </row>
    <row r="12" spans="2:8" x14ac:dyDescent="0.45">
      <c r="B12">
        <f t="shared" si="1"/>
        <v>4.1414887678521438E-2</v>
      </c>
      <c r="C12">
        <f t="shared" si="2"/>
        <v>4.1391233842226892E-2</v>
      </c>
      <c r="D12">
        <f t="shared" si="3"/>
        <v>4.5875228757489582E-2</v>
      </c>
      <c r="E12">
        <f t="shared" si="4"/>
        <v>0.28824256329256098</v>
      </c>
      <c r="F12">
        <f t="shared" si="5"/>
        <v>2.8824256329256101E-2</v>
      </c>
      <c r="G12">
        <f t="shared" si="6"/>
        <v>1.0008572290398989</v>
      </c>
      <c r="H12">
        <f t="shared" si="0"/>
        <v>8.4924915835747267E-2</v>
      </c>
    </row>
    <row r="13" spans="2:8" x14ac:dyDescent="0.45">
      <c r="B13">
        <f t="shared" si="1"/>
        <v>4.5765890494244024E-2</v>
      </c>
      <c r="C13">
        <f t="shared" si="2"/>
        <v>4.5733978114785787E-2</v>
      </c>
      <c r="D13">
        <f t="shared" si="3"/>
        <v>4.1532484484930687E-2</v>
      </c>
      <c r="E13">
        <f t="shared" si="4"/>
        <v>0.26095629628638062</v>
      </c>
      <c r="F13">
        <f t="shared" si="5"/>
        <v>2.6095629628638064E-2</v>
      </c>
      <c r="G13">
        <f t="shared" si="6"/>
        <v>1.0010467105648622</v>
      </c>
      <c r="H13">
        <f t="shared" si="0"/>
        <v>8.0812969565328879E-2</v>
      </c>
    </row>
    <row r="14" spans="2:8" x14ac:dyDescent="0.45">
      <c r="B14">
        <f t="shared" si="1"/>
        <v>4.9270598401352513E-2</v>
      </c>
      <c r="C14">
        <f t="shared" si="2"/>
        <v>4.9230786738514741E-2</v>
      </c>
      <c r="D14">
        <f t="shared" si="3"/>
        <v>3.8035675861201733E-2</v>
      </c>
      <c r="E14">
        <f t="shared" si="4"/>
        <v>0.23898519971974799</v>
      </c>
      <c r="F14">
        <f t="shared" si="5"/>
        <v>2.3898519971974799E-2</v>
      </c>
      <c r="G14">
        <f t="shared" si="6"/>
        <v>1.0012130601759184</v>
      </c>
      <c r="H14">
        <f t="shared" si="0"/>
        <v>7.7342598732548729E-2</v>
      </c>
    </row>
    <row r="15" spans="2:8" x14ac:dyDescent="0.45">
      <c r="B15">
        <f t="shared" si="1"/>
        <v>5.2077798434472133E-2</v>
      </c>
      <c r="C15">
        <f t="shared" si="2"/>
        <v>5.2030794882523268E-2</v>
      </c>
      <c r="D15">
        <f t="shared" si="3"/>
        <v>3.5235667717193206E-2</v>
      </c>
      <c r="E15">
        <f t="shared" si="4"/>
        <v>0.22139222968933042</v>
      </c>
      <c r="F15">
        <f t="shared" si="5"/>
        <v>2.2139222968933045E-2</v>
      </c>
      <c r="G15">
        <f t="shared" si="6"/>
        <v>1.0013551303557502</v>
      </c>
      <c r="H15">
        <f t="shared" si="0"/>
        <v>7.4446666315609741E-2</v>
      </c>
    </row>
    <row r="16" spans="2:8" x14ac:dyDescent="0.45">
      <c r="B16">
        <f t="shared" si="1"/>
        <v>5.4314685222585896E-2</v>
      </c>
      <c r="C16">
        <f t="shared" si="2"/>
        <v>5.4261368584042874E-2</v>
      </c>
      <c r="D16">
        <f t="shared" si="3"/>
        <v>3.30050940156736E-2</v>
      </c>
      <c r="E16">
        <f t="shared" si="4"/>
        <v>0.20737712178136125</v>
      </c>
      <c r="F16">
        <f t="shared" si="5"/>
        <v>2.0737712178136126E-2</v>
      </c>
      <c r="G16">
        <f t="shared" si="6"/>
        <v>1.0014739562419128</v>
      </c>
      <c r="H16">
        <f t="shared" si="0"/>
        <v>7.2056017546149612E-2</v>
      </c>
    </row>
    <row r="17" spans="2:8" x14ac:dyDescent="0.45">
      <c r="B17">
        <f t="shared" si="1"/>
        <v>5.608881845494227E-2</v>
      </c>
      <c r="C17">
        <f t="shared" si="2"/>
        <v>5.6030111585342976E-2</v>
      </c>
      <c r="D17">
        <f t="shared" si="3"/>
        <v>3.1236351014373498E-2</v>
      </c>
      <c r="E17">
        <f t="shared" si="4"/>
        <v>0.19626378174341572</v>
      </c>
      <c r="F17">
        <f t="shared" si="5"/>
        <v>1.9626378174341572E-2</v>
      </c>
      <c r="G17">
        <f t="shared" ref="G17:G30" si="7">COS(C17)*(1+B17^2)</f>
        <v>1.0015717425904502</v>
      </c>
      <c r="H17">
        <f t="shared" si="0"/>
        <v>7.0102114427480836E-2</v>
      </c>
    </row>
    <row r="18" spans="2:8" x14ac:dyDescent="0.45">
      <c r="B18">
        <f t="shared" si="1"/>
        <v>5.7490148052196127E-2</v>
      </c>
      <c r="C18">
        <f t="shared" si="2"/>
        <v>5.742693613435669E-2</v>
      </c>
      <c r="D18">
        <f t="shared" si="3"/>
        <v>2.9839526465359784E-2</v>
      </c>
      <c r="E18">
        <f t="shared" si="4"/>
        <v>0.187487274260345</v>
      </c>
      <c r="F18">
        <f t="shared" si="5"/>
        <v>1.8748727426034503E-2</v>
      </c>
      <c r="G18">
        <f t="shared" si="7"/>
        <v>1.0016511953385085</v>
      </c>
      <c r="H18">
        <f t="shared" si="0"/>
        <v>6.8519495833965632E-2</v>
      </c>
    </row>
    <row r="19" spans="2:8" x14ac:dyDescent="0.45">
      <c r="B19">
        <f t="shared" si="1"/>
        <v>5.8593082830373081E-2</v>
      </c>
      <c r="C19">
        <f t="shared" si="2"/>
        <v>5.8526167679357026E-2</v>
      </c>
      <c r="D19">
        <f t="shared" si="3"/>
        <v>2.8740294920359448E-2</v>
      </c>
      <c r="E19">
        <f t="shared" si="4"/>
        <v>0.18058059876761057</v>
      </c>
      <c r="F19">
        <f t="shared" si="5"/>
        <v>1.8058059876761057E-2</v>
      </c>
      <c r="G19">
        <f t="shared" si="7"/>
        <v>1.0017151038871117</v>
      </c>
      <c r="H19">
        <f t="shared" si="0"/>
        <v>6.7247734767517234E-2</v>
      </c>
    </row>
    <row r="20" spans="2:8" x14ac:dyDescent="0.45">
      <c r="B20">
        <f t="shared" si="1"/>
        <v>5.9458548024087496E-2</v>
      </c>
      <c r="C20">
        <f t="shared" si="2"/>
        <v>5.9388627967901696E-2</v>
      </c>
      <c r="D20">
        <f t="shared" si="3"/>
        <v>2.7877834631814778E-2</v>
      </c>
      <c r="E20">
        <f t="shared" si="4"/>
        <v>0.17516160095460084</v>
      </c>
      <c r="F20">
        <f t="shared" si="5"/>
        <v>1.7516160095460084E-2</v>
      </c>
      <c r="G20">
        <f t="shared" si="7"/>
        <v>1.0017660999121165</v>
      </c>
      <c r="H20">
        <f t="shared" si="0"/>
        <v>6.6232724887825084E-2</v>
      </c>
    </row>
    <row r="21" spans="2:8" x14ac:dyDescent="0.45">
      <c r="B21">
        <f t="shared" si="1"/>
        <v>6.0135965710461252E-2</v>
      </c>
      <c r="C21">
        <f t="shared" si="2"/>
        <v>6.0063632008829186E-2</v>
      </c>
      <c r="D21">
        <f t="shared" si="3"/>
        <v>2.7202830590887288E-2</v>
      </c>
      <c r="E21">
        <f t="shared" si="4"/>
        <v>0.17092042548235839</v>
      </c>
      <c r="F21">
        <f t="shared" si="5"/>
        <v>1.709204254823584E-2</v>
      </c>
      <c r="G21">
        <f t="shared" si="7"/>
        <v>1.0018065354008876</v>
      </c>
      <c r="H21">
        <f t="shared" si="0"/>
        <v>6.5427287747874555E-2</v>
      </c>
    </row>
    <row r="22" spans="2:8" x14ac:dyDescent="0.45">
      <c r="B22">
        <f t="shared" si="1"/>
        <v>6.0665097914202583E-2</v>
      </c>
      <c r="C22">
        <f t="shared" si="2"/>
        <v>6.0590840824466224E-2</v>
      </c>
      <c r="D22">
        <f t="shared" si="3"/>
        <v>2.6675621775250249E-2</v>
      </c>
      <c r="E22">
        <f t="shared" si="4"/>
        <v>0.16760787479813219</v>
      </c>
      <c r="F22">
        <f t="shared" si="5"/>
        <v>1.676078747981322E-2</v>
      </c>
      <c r="G22">
        <f t="shared" si="7"/>
        <v>1.0018384371269351</v>
      </c>
      <c r="H22">
        <f t="shared" si="0"/>
        <v>6.4791205293991821E-2</v>
      </c>
    </row>
    <row r="23" spans="2:8" x14ac:dyDescent="0.45">
      <c r="B23">
        <f t="shared" si="1"/>
        <v>6.1077708652181505E-2</v>
      </c>
      <c r="C23">
        <f t="shared" si="2"/>
        <v>6.1001928342715069E-2</v>
      </c>
      <c r="D23">
        <f t="shared" si="3"/>
        <v>2.6264534257001405E-2</v>
      </c>
      <c r="E23">
        <f t="shared" si="4"/>
        <v>0.16502493574350613</v>
      </c>
      <c r="F23">
        <f t="shared" si="5"/>
        <v>1.6502493574350612E-2</v>
      </c>
      <c r="G23">
        <f t="shared" si="7"/>
        <v>1.0018635069180835</v>
      </c>
      <c r="H23">
        <f t="shared" si="0"/>
        <v>6.4290835438054542E-2</v>
      </c>
    </row>
    <row r="24" spans="2:8" x14ac:dyDescent="0.45">
      <c r="B24">
        <f t="shared" si="1"/>
        <v>6.1399021330768806E-2</v>
      </c>
      <c r="C24">
        <f t="shared" si="2"/>
        <v>6.1322040553831364E-2</v>
      </c>
      <c r="D24">
        <f t="shared" si="3"/>
        <v>2.594442204588511E-2</v>
      </c>
      <c r="E24">
        <f t="shared" si="4"/>
        <v>0.16301361140197146</v>
      </c>
      <c r="F24">
        <f t="shared" si="5"/>
        <v>1.6301361140197146E-2</v>
      </c>
      <c r="G24">
        <f t="shared" si="7"/>
        <v>1.0018831467892733</v>
      </c>
      <c r="H24">
        <f t="shared" si="0"/>
        <v>6.3898472196307426E-2</v>
      </c>
    </row>
    <row r="25" spans="2:8" x14ac:dyDescent="0.45">
      <c r="B25">
        <f t="shared" si="1"/>
        <v>6.1648966417322669E-2</v>
      </c>
      <c r="C25">
        <f t="shared" si="2"/>
        <v>6.1571043114163358E-2</v>
      </c>
      <c r="D25">
        <f t="shared" si="3"/>
        <v>2.5695419485553116E-2</v>
      </c>
      <c r="E25">
        <f t="shared" si="4"/>
        <v>0.16144908217344339</v>
      </c>
      <c r="F25">
        <f t="shared" si="5"/>
        <v>1.614490821734434E-2</v>
      </c>
      <c r="G25">
        <f t="shared" si="7"/>
        <v>1.0018984953877932</v>
      </c>
      <c r="H25">
        <f t="shared" si="0"/>
        <v>6.3591586021916668E-2</v>
      </c>
    </row>
    <row r="26" spans="2:8" x14ac:dyDescent="0.45">
      <c r="B26">
        <f t="shared" si="1"/>
        <v>6.184322837778207E-2</v>
      </c>
      <c r="C26">
        <f t="shared" si="2"/>
        <v>6.1764567247677211E-2</v>
      </c>
      <c r="D26">
        <f t="shared" si="3"/>
        <v>2.5501895352039262E-2</v>
      </c>
      <c r="E26">
        <f t="shared" si="4"/>
        <v>0.16023313418116447</v>
      </c>
      <c r="F26">
        <f t="shared" si="5"/>
        <v>1.6023313418116449E-2</v>
      </c>
      <c r="G26">
        <f t="shared" si="7"/>
        <v>1.0019104675050492</v>
      </c>
      <c r="H26">
        <f t="shared" si="0"/>
        <v>6.335204305648906E-2</v>
      </c>
    </row>
    <row r="27" spans="2:8" x14ac:dyDescent="0.45">
      <c r="B27">
        <f t="shared" si="1"/>
        <v>6.1994109845652769E-2</v>
      </c>
      <c r="C27">
        <f t="shared" si="2"/>
        <v>6.1914872456881286E-2</v>
      </c>
      <c r="D27">
        <f t="shared" si="3"/>
        <v>2.5351590142835188E-2</v>
      </c>
      <c r="E27">
        <f t="shared" si="4"/>
        <v>0.15928873869910087</v>
      </c>
      <c r="F27">
        <f t="shared" si="5"/>
        <v>1.5928873869910088E-2</v>
      </c>
      <c r="G27">
        <f t="shared" si="7"/>
        <v>1.0019197920270637</v>
      </c>
      <c r="H27">
        <f t="shared" si="0"/>
        <v>6.3165366291516201E-2</v>
      </c>
    </row>
    <row r="28" spans="2:8" x14ac:dyDescent="0.45">
      <c r="B28">
        <f t="shared" si="1"/>
        <v>6.2111235490239114E-2</v>
      </c>
      <c r="C28">
        <f t="shared" si="2"/>
        <v>6.203154883495391E-2</v>
      </c>
      <c r="D28">
        <f t="shared" si="3"/>
        <v>2.5234913764762563E-2</v>
      </c>
      <c r="E28">
        <f t="shared" si="4"/>
        <v>0.15855563939470005</v>
      </c>
      <c r="F28">
        <f t="shared" si="5"/>
        <v>1.5855563939470005E-2</v>
      </c>
      <c r="G28">
        <f t="shared" si="7"/>
        <v>1.0019270460338536</v>
      </c>
      <c r="H28">
        <f t="shared" si="0"/>
        <v>6.3020072875779182E-2</v>
      </c>
    </row>
    <row r="29" spans="2:8" x14ac:dyDescent="0.45">
      <c r="B29">
        <f t="shared" si="1"/>
        <v>6.2202119228793123E-2</v>
      </c>
      <c r="C29">
        <f t="shared" si="2"/>
        <v>6.2122082799770204E-2</v>
      </c>
      <c r="D29">
        <f t="shared" si="3"/>
        <v>2.514437979994627E-2</v>
      </c>
      <c r="E29">
        <f t="shared" si="4"/>
        <v>0.15798679771716559</v>
      </c>
      <c r="F29">
        <f t="shared" si="5"/>
        <v>1.5798679771716558E-2</v>
      </c>
      <c r="G29">
        <f t="shared" si="7"/>
        <v>1.0019326841841985</v>
      </c>
      <c r="H29">
        <f t="shared" si="0"/>
        <v>6.2907101408033753E-2</v>
      </c>
    </row>
    <row r="30" spans="2:8" x14ac:dyDescent="0.45">
      <c r="B30">
        <f t="shared" si="1"/>
        <v>6.2272617446717186E-2</v>
      </c>
      <c r="C30">
        <f t="shared" si="2"/>
        <v>6.219230899719095E-2</v>
      </c>
      <c r="D30">
        <f t="shared" si="3"/>
        <v>2.5074153602525524E-2</v>
      </c>
      <c r="E30">
        <f t="shared" si="4"/>
        <v>0.15754555350535246</v>
      </c>
      <c r="F30">
        <f t="shared" si="5"/>
        <v>1.5754555350535247E-2</v>
      </c>
      <c r="G30">
        <f t="shared" si="7"/>
        <v>1.0019370633346512</v>
      </c>
      <c r="H30">
        <f t="shared" si="0"/>
        <v>6.2819330070565269E-2</v>
      </c>
    </row>
    <row r="31" spans="2:8" x14ac:dyDescent="0.45">
      <c r="B31">
        <f t="shared" si="1"/>
        <v>6.2327288709101994E-2</v>
      </c>
      <c r="C31">
        <f>ATAN(B31)</f>
        <v>6.224676888526183E-2</v>
      </c>
      <c r="D31">
        <f>$D$2-C31</f>
        <v>2.5019693714454644E-2</v>
      </c>
      <c r="E31">
        <f>2*PI()*D31</f>
        <v>0.15720337193679487</v>
      </c>
      <c r="F31">
        <f>E31*$C$3</f>
        <v>1.5720337193679487E-2</v>
      </c>
      <c r="G31">
        <f>COS(C31)*(1+B31^2)</f>
        <v>1.0019404627610504</v>
      </c>
      <c r="H31">
        <f t="shared" si="0"/>
        <v>6.275117911759702E-2</v>
      </c>
    </row>
    <row r="32" spans="2:8" x14ac:dyDescent="0.45">
      <c r="B32">
        <f t="shared" ref="B32:B67" si="8">0.1*H31+0.9*B31</f>
        <v>6.2369677749951502E-2</v>
      </c>
      <c r="C32">
        <f t="shared" si="2"/>
        <v>6.2288993783848175E-2</v>
      </c>
      <c r="D32">
        <f t="shared" si="3"/>
        <v>2.4977468815868299E-2</v>
      </c>
      <c r="E32">
        <f t="shared" si="4"/>
        <v>0.1569380650744</v>
      </c>
      <c r="F32">
        <f t="shared" si="5"/>
        <v>1.5693806507440001E-2</v>
      </c>
      <c r="G32">
        <f t="shared" ref="G32:G67" si="9">COS(C32)*(1+B32^2)</f>
        <v>1.0019431005314787</v>
      </c>
      <c r="H32">
        <f t="shared" ref="H32:H67" si="10">0.5*SQRT(F32*G32)</f>
        <v>6.2698287758130869E-2</v>
      </c>
    </row>
    <row r="33" spans="2:8" x14ac:dyDescent="0.45">
      <c r="B33">
        <f t="shared" si="8"/>
        <v>6.240253875076944E-2</v>
      </c>
      <c r="C33">
        <f t="shared" si="2"/>
        <v>6.2321727384621474E-2</v>
      </c>
      <c r="D33">
        <f t="shared" si="3"/>
        <v>2.4944735215095E-2</v>
      </c>
      <c r="E33">
        <f t="shared" si="4"/>
        <v>0.15673239379497012</v>
      </c>
      <c r="F33">
        <f t="shared" si="5"/>
        <v>1.5673239379497012E-2</v>
      </c>
      <c r="G33">
        <f t="shared" si="9"/>
        <v>1.0019451466235771</v>
      </c>
      <c r="H33">
        <f t="shared" si="10"/>
        <v>6.2657254424680453E-2</v>
      </c>
    </row>
    <row r="34" spans="2:8" x14ac:dyDescent="0.45">
      <c r="B34">
        <f t="shared" si="8"/>
        <v>6.2428010318160546E-2</v>
      </c>
      <c r="C34">
        <f t="shared" si="2"/>
        <v>6.234710010834154E-2</v>
      </c>
      <c r="D34">
        <f t="shared" si="3"/>
        <v>2.4919362491374934E-2</v>
      </c>
      <c r="E34">
        <f t="shared" si="4"/>
        <v>0.15657297227008907</v>
      </c>
      <c r="F34">
        <f t="shared" si="5"/>
        <v>1.5657297227008909E-2</v>
      </c>
      <c r="G34">
        <f t="shared" si="9"/>
        <v>1.0019467333507728</v>
      </c>
      <c r="H34">
        <f t="shared" si="10"/>
        <v>6.2625429758413009E-2</v>
      </c>
    </row>
    <row r="35" spans="2:8" x14ac:dyDescent="0.45">
      <c r="B35">
        <f t="shared" si="8"/>
        <v>6.2447752262185789E-2</v>
      </c>
      <c r="C35">
        <f t="shared" si="2"/>
        <v>6.2366765387491314E-2</v>
      </c>
      <c r="D35">
        <f t="shared" si="3"/>
        <v>2.4899697212225159E-2</v>
      </c>
      <c r="E35">
        <f t="shared" si="4"/>
        <v>0.15644941167707363</v>
      </c>
      <c r="F35">
        <f t="shared" si="5"/>
        <v>1.5644941167707364E-2</v>
      </c>
      <c r="G35">
        <f t="shared" si="9"/>
        <v>1.0019479636002058</v>
      </c>
      <c r="H35">
        <f t="shared" si="10"/>
        <v>6.2600752678441132E-2</v>
      </c>
    </row>
    <row r="36" spans="2:8" x14ac:dyDescent="0.45">
      <c r="B36">
        <f t="shared" si="8"/>
        <v>6.2463052303811321E-2</v>
      </c>
      <c r="C36">
        <f t="shared" si="2"/>
        <v>6.2382005980481832E-2</v>
      </c>
      <c r="D36">
        <f t="shared" si="3"/>
        <v>2.4884456619234642E-2</v>
      </c>
      <c r="E36">
        <f t="shared" si="4"/>
        <v>0.15635365220712291</v>
      </c>
      <c r="F36">
        <f t="shared" si="5"/>
        <v>1.563536522071229E-2</v>
      </c>
      <c r="G36">
        <f t="shared" si="9"/>
        <v>1.0019489173122096</v>
      </c>
      <c r="H36">
        <f t="shared" si="10"/>
        <v>6.2581621213167793E-2</v>
      </c>
    </row>
    <row r="37" spans="2:8" x14ac:dyDescent="0.45">
      <c r="B37">
        <f t="shared" si="8"/>
        <v>6.2474909194746971E-2</v>
      </c>
      <c r="C37">
        <f t="shared" si="2"/>
        <v>6.2393816781260707E-2</v>
      </c>
      <c r="D37">
        <f t="shared" si="3"/>
        <v>2.4872645818455767E-2</v>
      </c>
      <c r="E37">
        <f t="shared" si="4"/>
        <v>0.15627944275720304</v>
      </c>
      <c r="F37">
        <f t="shared" si="5"/>
        <v>1.5627944275720305E-2</v>
      </c>
      <c r="G37">
        <f t="shared" si="9"/>
        <v>1.0019496565590968</v>
      </c>
      <c r="H37">
        <f t="shared" si="10"/>
        <v>6.2566791111145104E-2</v>
      </c>
    </row>
    <row r="38" spans="2:8" x14ac:dyDescent="0.45">
      <c r="B38">
        <f t="shared" si="8"/>
        <v>6.2484097386386786E-2</v>
      </c>
      <c r="C38">
        <f t="shared" si="2"/>
        <v>6.2402969244536366E-2</v>
      </c>
      <c r="D38">
        <f t="shared" si="3"/>
        <v>2.4863493355180108E-2</v>
      </c>
      <c r="E38">
        <f t="shared" si="4"/>
        <v>0.15622193613442492</v>
      </c>
      <c r="F38">
        <f t="shared" si="5"/>
        <v>1.5622193613442492E-2</v>
      </c>
      <c r="G38">
        <f t="shared" si="9"/>
        <v>1.0019502295155143</v>
      </c>
      <c r="H38">
        <f t="shared" si="10"/>
        <v>6.2555296491433293E-2</v>
      </c>
    </row>
    <row r="39" spans="2:8" x14ac:dyDescent="0.45">
      <c r="B39">
        <f t="shared" si="8"/>
        <v>6.2491217296891444E-2</v>
      </c>
      <c r="C39">
        <f t="shared" si="2"/>
        <v>6.2410061462007518E-2</v>
      </c>
      <c r="D39">
        <f t="shared" si="3"/>
        <v>2.4856401137708956E-2</v>
      </c>
      <c r="E39">
        <f t="shared" si="4"/>
        <v>0.15617737441781487</v>
      </c>
      <c r="F39">
        <f t="shared" si="5"/>
        <v>1.5617737441781488E-2</v>
      </c>
      <c r="G39">
        <f t="shared" si="9"/>
        <v>1.0019506735559627</v>
      </c>
      <c r="H39">
        <f t="shared" si="10"/>
        <v>6.2546387883740215E-2</v>
      </c>
    </row>
    <row r="40" spans="2:8" x14ac:dyDescent="0.45">
      <c r="B40">
        <f t="shared" si="8"/>
        <v>6.2496734355576317E-2</v>
      </c>
      <c r="C40">
        <f t="shared" si="2"/>
        <v>6.2415557057659964E-2</v>
      </c>
      <c r="D40">
        <f t="shared" si="3"/>
        <v>2.485090554205651E-2</v>
      </c>
      <c r="E40">
        <f t="shared" si="4"/>
        <v>0.15614284457195721</v>
      </c>
      <c r="F40">
        <f t="shared" si="5"/>
        <v>1.5614284457195721E-2</v>
      </c>
      <c r="G40">
        <f t="shared" si="9"/>
        <v>1.0019510176675861</v>
      </c>
      <c r="H40">
        <f t="shared" si="10"/>
        <v>6.253948393222962E-2</v>
      </c>
    </row>
    <row r="41" spans="2:8" x14ac:dyDescent="0.45">
      <c r="B41">
        <f t="shared" si="8"/>
        <v>6.2501009313241651E-2</v>
      </c>
      <c r="C41">
        <f t="shared" si="2"/>
        <v>6.2419815381846946E-2</v>
      </c>
      <c r="D41">
        <f t="shared" si="3"/>
        <v>2.4846647217869527E-2</v>
      </c>
      <c r="E41">
        <f t="shared" si="4"/>
        <v>0.15611608873199237</v>
      </c>
      <c r="F41">
        <f t="shared" si="5"/>
        <v>1.5611608873199238E-2</v>
      </c>
      <c r="G41">
        <f t="shared" si="9"/>
        <v>1.0019512843273239</v>
      </c>
      <c r="H41">
        <f t="shared" si="10"/>
        <v>6.2534133800904737E-2</v>
      </c>
    </row>
    <row r="42" spans="2:8" x14ac:dyDescent="0.45">
      <c r="B42">
        <f t="shared" si="8"/>
        <v>6.2504321762007958E-2</v>
      </c>
      <c r="C42">
        <f t="shared" si="2"/>
        <v>6.2423114940612409E-2</v>
      </c>
      <c r="D42">
        <f t="shared" si="3"/>
        <v>2.4843347659104065E-2</v>
      </c>
      <c r="E42">
        <f t="shared" si="4"/>
        <v>0.15609535699283703</v>
      </c>
      <c r="F42">
        <f t="shared" si="5"/>
        <v>1.5609535699283703E-2</v>
      </c>
      <c r="G42">
        <f t="shared" si="9"/>
        <v>1.001951490960979</v>
      </c>
      <c r="H42">
        <f t="shared" si="10"/>
        <v>6.2529987939999504E-2</v>
      </c>
    </row>
    <row r="43" spans="2:8" x14ac:dyDescent="0.45">
      <c r="B43">
        <f t="shared" si="8"/>
        <v>6.2506888379807113E-2</v>
      </c>
      <c r="C43">
        <f t="shared" si="2"/>
        <v>6.2425671569787511E-2</v>
      </c>
      <c r="D43">
        <f t="shared" si="3"/>
        <v>2.4840791029928963E-2</v>
      </c>
      <c r="E43">
        <f t="shared" si="4"/>
        <v>0.15607929321796812</v>
      </c>
      <c r="F43">
        <f t="shared" si="5"/>
        <v>1.5607929321796813E-2</v>
      </c>
      <c r="G43">
        <f t="shared" si="9"/>
        <v>1.0019516510765005</v>
      </c>
      <c r="H43">
        <f t="shared" si="10"/>
        <v>6.2526775372354765E-2</v>
      </c>
    </row>
    <row r="44" spans="2:8" x14ac:dyDescent="0.45">
      <c r="B44">
        <f t="shared" si="8"/>
        <v>6.2508877079061886E-2</v>
      </c>
      <c r="C44">
        <f t="shared" si="2"/>
        <v>6.2427652528968439E-2</v>
      </c>
      <c r="D44">
        <f t="shared" si="3"/>
        <v>2.4838810070748035E-2</v>
      </c>
      <c r="E44">
        <f t="shared" si="4"/>
        <v>0.1560668464843484</v>
      </c>
      <c r="F44">
        <f t="shared" si="5"/>
        <v>1.5606684648434841E-2</v>
      </c>
      <c r="G44">
        <f t="shared" si="9"/>
        <v>1.0019517751437368</v>
      </c>
      <c r="H44">
        <f t="shared" si="10"/>
        <v>6.2524286056715186E-2</v>
      </c>
    </row>
    <row r="45" spans="2:8" x14ac:dyDescent="0.45">
      <c r="B45">
        <f t="shared" si="8"/>
        <v>6.2510417976827215E-2</v>
      </c>
      <c r="C45">
        <f t="shared" si="2"/>
        <v>6.2429187429178676E-2</v>
      </c>
      <c r="D45">
        <f t="shared" si="3"/>
        <v>2.4837275170537798E-2</v>
      </c>
      <c r="E45">
        <f t="shared" si="4"/>
        <v>0.15605720242189944</v>
      </c>
      <c r="F45">
        <f t="shared" si="5"/>
        <v>1.5605720242189945E-2</v>
      </c>
      <c r="G45">
        <f t="shared" si="9"/>
        <v>1.0019518712770776</v>
      </c>
      <c r="H45">
        <f t="shared" si="10"/>
        <v>6.2522357199822493E-2</v>
      </c>
    </row>
    <row r="46" spans="2:8" x14ac:dyDescent="0.45">
      <c r="B46">
        <f t="shared" si="8"/>
        <v>6.251161189912674E-2</v>
      </c>
      <c r="C46">
        <f t="shared" si="2"/>
        <v>6.2430376704234895E-2</v>
      </c>
      <c r="D46">
        <f t="shared" si="3"/>
        <v>2.4836085895481579E-2</v>
      </c>
      <c r="E46">
        <f t="shared" si="4"/>
        <v>0.15604972998634001</v>
      </c>
      <c r="F46">
        <f t="shared" si="5"/>
        <v>1.5604972998634002E-2</v>
      </c>
      <c r="G46">
        <f t="shared" si="9"/>
        <v>1.0019519457649788</v>
      </c>
      <c r="H46">
        <f t="shared" si="10"/>
        <v>6.2520862637185551E-2</v>
      </c>
    </row>
    <row r="47" spans="2:8" x14ac:dyDescent="0.45">
      <c r="B47">
        <f t="shared" si="8"/>
        <v>6.2512536972932617E-2</v>
      </c>
      <c r="C47">
        <f t="shared" si="2"/>
        <v>6.2431298177146294E-2</v>
      </c>
      <c r="D47">
        <f t="shared" si="3"/>
        <v>2.483516442257018E-2</v>
      </c>
      <c r="E47">
        <f t="shared" si="4"/>
        <v>0.15604394020128215</v>
      </c>
      <c r="F47">
        <f t="shared" si="5"/>
        <v>1.5604394020128216E-2</v>
      </c>
      <c r="G47">
        <f t="shared" si="9"/>
        <v>1.001952003480602</v>
      </c>
      <c r="H47">
        <f t="shared" si="10"/>
        <v>6.2519704596967249E-2</v>
      </c>
    </row>
    <row r="48" spans="2:8" x14ac:dyDescent="0.45">
      <c r="B48">
        <f t="shared" si="8"/>
        <v>6.2513253735336075E-2</v>
      </c>
      <c r="C48">
        <f t="shared" si="2"/>
        <v>6.243201214944448E-2</v>
      </c>
      <c r="D48">
        <f t="shared" si="3"/>
        <v>2.4834450450271994E-2</v>
      </c>
      <c r="E48">
        <f t="shared" si="4"/>
        <v>0.15603945418102846</v>
      </c>
      <c r="F48">
        <f t="shared" si="5"/>
        <v>1.5603945418102847E-2</v>
      </c>
      <c r="G48">
        <f t="shared" si="9"/>
        <v>1.0019520482002013</v>
      </c>
      <c r="H48">
        <f t="shared" si="10"/>
        <v>6.251880731362422E-2</v>
      </c>
    </row>
    <row r="49" spans="2:8" x14ac:dyDescent="0.45">
      <c r="B49">
        <f t="shared" si="8"/>
        <v>6.2513809093164882E-2</v>
      </c>
      <c r="C49">
        <f t="shared" si="2"/>
        <v>6.2432565345415733E-2</v>
      </c>
      <c r="D49">
        <f t="shared" si="3"/>
        <v>2.4833897254300741E-2</v>
      </c>
      <c r="E49">
        <f t="shared" si="4"/>
        <v>0.15603597834822988</v>
      </c>
      <c r="F49">
        <f t="shared" si="5"/>
        <v>1.5603597834822989E-2</v>
      </c>
      <c r="G49">
        <f t="shared" si="9"/>
        <v>1.0019520828499417</v>
      </c>
      <c r="H49">
        <f t="shared" si="10"/>
        <v>6.2518112076728888E-2</v>
      </c>
    </row>
    <row r="50" spans="2:8" x14ac:dyDescent="0.45">
      <c r="B50">
        <f t="shared" si="8"/>
        <v>6.2514239391521287E-2</v>
      </c>
      <c r="C50">
        <f t="shared" si="2"/>
        <v>6.2432993968710916E-2</v>
      </c>
      <c r="D50">
        <f t="shared" si="3"/>
        <v>2.4833468631005558E-2</v>
      </c>
      <c r="E50">
        <f t="shared" si="4"/>
        <v>0.15603328522863927</v>
      </c>
      <c r="F50">
        <f t="shared" si="5"/>
        <v>1.5603328522863927E-2</v>
      </c>
      <c r="G50">
        <f t="shared" si="9"/>
        <v>1.0019521096972153</v>
      </c>
      <c r="H50">
        <f t="shared" si="10"/>
        <v>6.2517573392971371E-2</v>
      </c>
    </row>
    <row r="51" spans="2:8" x14ac:dyDescent="0.45">
      <c r="B51">
        <f t="shared" si="8"/>
        <v>6.2514572791666292E-2</v>
      </c>
      <c r="C51">
        <f t="shared" si="2"/>
        <v>6.2433326070983314E-2</v>
      </c>
      <c r="D51">
        <f t="shared" si="3"/>
        <v>2.483313652873316E-2</v>
      </c>
      <c r="E51">
        <f t="shared" si="4"/>
        <v>0.15603119856852085</v>
      </c>
      <c r="F51">
        <f t="shared" si="5"/>
        <v>1.5603119856852086E-2</v>
      </c>
      <c r="G51">
        <f t="shared" si="9"/>
        <v>1.0019521304989198</v>
      </c>
      <c r="H51">
        <f t="shared" si="10"/>
        <v>6.2517156011376085E-2</v>
      </c>
    </row>
    <row r="52" spans="2:8" x14ac:dyDescent="0.45">
      <c r="B52">
        <f t="shared" si="8"/>
        <v>6.2514831113637273E-2</v>
      </c>
      <c r="C52">
        <f t="shared" si="2"/>
        <v>6.2433583387339342E-2</v>
      </c>
      <c r="D52">
        <f t="shared" si="3"/>
        <v>2.4832879212377132E-2</v>
      </c>
      <c r="E52">
        <f t="shared" si="4"/>
        <v>0.15602958180217338</v>
      </c>
      <c r="F52">
        <f t="shared" si="5"/>
        <v>1.5602958180217339E-2</v>
      </c>
      <c r="G52">
        <f t="shared" si="9"/>
        <v>1.0019521466163774</v>
      </c>
      <c r="H52">
        <f t="shared" si="10"/>
        <v>6.2516832617772494E-2</v>
      </c>
    </row>
    <row r="53" spans="2:8" x14ac:dyDescent="0.45">
      <c r="B53">
        <f t="shared" si="8"/>
        <v>6.2515031264050794E-2</v>
      </c>
      <c r="C53">
        <f t="shared" si="2"/>
        <v>6.2433782758586777E-2</v>
      </c>
      <c r="D53">
        <f t="shared" si="3"/>
        <v>2.4832679841129697E-2</v>
      </c>
      <c r="E53">
        <f t="shared" si="4"/>
        <v>0.15602832911568082</v>
      </c>
      <c r="F53">
        <f t="shared" si="5"/>
        <v>1.5602832911568082E-2</v>
      </c>
      <c r="G53">
        <f t="shared" si="9"/>
        <v>1.0019521591043883</v>
      </c>
      <c r="H53">
        <f t="shared" si="10"/>
        <v>6.2516582048066746E-2</v>
      </c>
    </row>
    <row r="54" spans="2:8" x14ac:dyDescent="0.45">
      <c r="B54">
        <f t="shared" si="8"/>
        <v>6.2515186342452386E-2</v>
      </c>
      <c r="C54">
        <f t="shared" si="2"/>
        <v>6.2433937233279821E-2</v>
      </c>
      <c r="D54">
        <f t="shared" si="3"/>
        <v>2.4832525366436653E-2</v>
      </c>
      <c r="E54">
        <f t="shared" si="4"/>
        <v>0.15602735852255914</v>
      </c>
      <c r="F54">
        <f t="shared" si="5"/>
        <v>1.5602735852255915E-2</v>
      </c>
      <c r="G54">
        <f t="shared" si="9"/>
        <v>1.0019521687802426</v>
      </c>
      <c r="H54">
        <f t="shared" si="10"/>
        <v>6.2516387903639031E-2</v>
      </c>
    </row>
    <row r="55" spans="2:8" x14ac:dyDescent="0.45">
      <c r="B55">
        <f t="shared" si="8"/>
        <v>6.2515306498571052E-2</v>
      </c>
      <c r="C55">
        <f t="shared" si="2"/>
        <v>6.2434056921637712E-2</v>
      </c>
      <c r="D55">
        <f t="shared" si="3"/>
        <v>2.4832405678078762E-2</v>
      </c>
      <c r="E55">
        <f t="shared" si="4"/>
        <v>0.15602660649842739</v>
      </c>
      <c r="F55">
        <f t="shared" si="5"/>
        <v>1.5602660649842739E-2</v>
      </c>
      <c r="G55">
        <f t="shared" si="9"/>
        <v>1.0019521762771966</v>
      </c>
      <c r="H55">
        <f t="shared" si="10"/>
        <v>6.2516237478403389E-2</v>
      </c>
    </row>
    <row r="56" spans="2:8" x14ac:dyDescent="0.45">
      <c r="B56">
        <f t="shared" si="8"/>
        <v>6.2515399596554291E-2</v>
      </c>
      <c r="C56">
        <f t="shared" si="2"/>
        <v>6.2434149657194689E-2</v>
      </c>
      <c r="D56">
        <f t="shared" si="3"/>
        <v>2.4832312942521785E-2</v>
      </c>
      <c r="E56">
        <f t="shared" si="4"/>
        <v>0.15602602382373837</v>
      </c>
      <c r="F56">
        <f t="shared" si="5"/>
        <v>1.5602602382373838E-2</v>
      </c>
      <c r="G56">
        <f t="shared" si="9"/>
        <v>1.0019521820859101</v>
      </c>
      <c r="H56">
        <f t="shared" si="10"/>
        <v>6.2516120927402163E-2</v>
      </c>
    </row>
    <row r="57" spans="2:8" x14ac:dyDescent="0.45">
      <c r="B57">
        <f t="shared" si="8"/>
        <v>6.2515471729639088E-2</v>
      </c>
      <c r="C57">
        <f t="shared" si="2"/>
        <v>6.243422150946789E-2</v>
      </c>
      <c r="D57">
        <f t="shared" si="3"/>
        <v>2.4832241090248584E-2</v>
      </c>
      <c r="E57">
        <f t="shared" si="4"/>
        <v>0.1560255723625911</v>
      </c>
      <c r="F57">
        <f t="shared" si="5"/>
        <v>1.5602557236259111E-2</v>
      </c>
      <c r="G57">
        <f t="shared" si="9"/>
        <v>1.0019521865865553</v>
      </c>
      <c r="H57">
        <f t="shared" si="10"/>
        <v>6.2516030622576518E-2</v>
      </c>
    </row>
    <row r="58" spans="2:8" x14ac:dyDescent="0.45">
      <c r="B58">
        <f t="shared" si="8"/>
        <v>6.2515527618932837E-2</v>
      </c>
      <c r="C58">
        <f t="shared" si="2"/>
        <v>6.2434277181186111E-2</v>
      </c>
      <c r="D58">
        <f t="shared" si="3"/>
        <v>2.4832185418530363E-2</v>
      </c>
      <c r="E58">
        <f t="shared" si="4"/>
        <v>0.15602522256686913</v>
      </c>
      <c r="F58">
        <f t="shared" si="5"/>
        <v>1.5602522256686914E-2</v>
      </c>
      <c r="G58">
        <f t="shared" si="9"/>
        <v>1.001952190073695</v>
      </c>
      <c r="H58">
        <f t="shared" si="10"/>
        <v>6.2515960653582336E-2</v>
      </c>
    </row>
    <row r="59" spans="2:8" x14ac:dyDescent="0.45">
      <c r="B59">
        <f t="shared" si="8"/>
        <v>6.251557092239779E-2</v>
      </c>
      <c r="C59">
        <f t="shared" si="2"/>
        <v>6.2434320316071566E-2</v>
      </c>
      <c r="D59">
        <f t="shared" si="3"/>
        <v>2.4832142283644908E-2</v>
      </c>
      <c r="E59">
        <f t="shared" si="4"/>
        <v>0.15602495154239063</v>
      </c>
      <c r="F59">
        <f t="shared" si="5"/>
        <v>1.5602495154239063E-2</v>
      </c>
      <c r="G59">
        <f t="shared" si="9"/>
        <v>1.0019521927755604</v>
      </c>
      <c r="H59">
        <f t="shared" si="10"/>
        <v>6.2515906441000843E-2</v>
      </c>
    </row>
    <row r="60" spans="2:8" x14ac:dyDescent="0.45">
      <c r="B60">
        <f t="shared" si="8"/>
        <v>6.2515604474258094E-2</v>
      </c>
      <c r="C60">
        <f t="shared" si="2"/>
        <v>6.2434353737315013E-2</v>
      </c>
      <c r="D60">
        <f t="shared" si="3"/>
        <v>2.4832108862401461E-2</v>
      </c>
      <c r="E60">
        <f t="shared" si="4"/>
        <v>0.15602474155052484</v>
      </c>
      <c r="F60">
        <f t="shared" si="5"/>
        <v>1.5602474155052485E-2</v>
      </c>
      <c r="G60">
        <f t="shared" si="9"/>
        <v>1.0019521948689878</v>
      </c>
      <c r="H60">
        <f t="shared" si="10"/>
        <v>6.2515864436640187E-2</v>
      </c>
    </row>
    <row r="61" spans="2:8" x14ac:dyDescent="0.45">
      <c r="B61">
        <f t="shared" si="8"/>
        <v>6.2515630470496297E-2</v>
      </c>
      <c r="C61">
        <f t="shared" si="2"/>
        <v>6.2434379632350177E-2</v>
      </c>
      <c r="D61">
        <f t="shared" si="3"/>
        <v>2.4832082967366297E-2</v>
      </c>
      <c r="E61">
        <f t="shared" si="4"/>
        <v>0.15602457884722037</v>
      </c>
      <c r="F61">
        <f t="shared" si="5"/>
        <v>1.5602457884722039E-2</v>
      </c>
      <c r="G61">
        <f t="shared" si="9"/>
        <v>1.0019521964909921</v>
      </c>
      <c r="H61">
        <f t="shared" si="10"/>
        <v>6.2515831891320636E-2</v>
      </c>
    </row>
    <row r="62" spans="2:8" x14ac:dyDescent="0.45">
      <c r="B62">
        <f t="shared" si="8"/>
        <v>6.251565061257873E-2</v>
      </c>
      <c r="C62">
        <f t="shared" si="2"/>
        <v>6.2434399696019667E-2</v>
      </c>
      <c r="D62">
        <f t="shared" si="3"/>
        <v>2.4832062903696807E-2</v>
      </c>
      <c r="E62">
        <f t="shared" si="4"/>
        <v>0.15602445278346702</v>
      </c>
      <c r="F62">
        <f t="shared" si="5"/>
        <v>1.5602445278346703E-2</v>
      </c>
      <c r="G62">
        <f t="shared" si="9"/>
        <v>1.0019521977477337</v>
      </c>
      <c r="H62">
        <f t="shared" si="10"/>
        <v>6.2515806674948673E-2</v>
      </c>
    </row>
    <row r="63" spans="2:8" x14ac:dyDescent="0.45">
      <c r="B63">
        <f t="shared" si="8"/>
        <v>6.2515666218815727E-2</v>
      </c>
      <c r="C63">
        <f t="shared" si="2"/>
        <v>6.2434415241501694E-2</v>
      </c>
      <c r="D63">
        <f t="shared" si="3"/>
        <v>2.483204735821478E-2</v>
      </c>
      <c r="E63">
        <f t="shared" si="4"/>
        <v>0.15602435510832277</v>
      </c>
      <c r="F63">
        <f t="shared" si="5"/>
        <v>1.5602435510832277E-2</v>
      </c>
      <c r="G63">
        <f t="shared" si="9"/>
        <v>1.0019521987214672</v>
      </c>
      <c r="H63">
        <f t="shared" si="10"/>
        <v>6.251578713710701E-2</v>
      </c>
    </row>
    <row r="64" spans="2:8" x14ac:dyDescent="0.45">
      <c r="B64">
        <f t="shared" si="8"/>
        <v>6.2515678310644848E-2</v>
      </c>
      <c r="C64">
        <f t="shared" si="2"/>
        <v>6.2434427286257393E-2</v>
      </c>
      <c r="D64">
        <f t="shared" si="3"/>
        <v>2.483203531345908E-2</v>
      </c>
      <c r="E64">
        <f t="shared" si="4"/>
        <v>0.15602427942889072</v>
      </c>
      <c r="F64">
        <f t="shared" si="5"/>
        <v>1.5602427942889073E-2</v>
      </c>
      <c r="G64">
        <f t="shared" si="9"/>
        <v>1.0019521994759231</v>
      </c>
      <c r="H64">
        <f t="shared" si="10"/>
        <v>6.251577199903699E-2</v>
      </c>
    </row>
    <row r="65" spans="2:8" x14ac:dyDescent="0.45">
      <c r="B65">
        <f t="shared" si="8"/>
        <v>6.2515687679484067E-2</v>
      </c>
      <c r="C65">
        <f t="shared" si="2"/>
        <v>6.2434436618623759E-2</v>
      </c>
      <c r="D65">
        <f t="shared" si="3"/>
        <v>2.4832025981092715E-2</v>
      </c>
      <c r="E65">
        <f t="shared" si="4"/>
        <v>0.15602422079190351</v>
      </c>
      <c r="F65">
        <f t="shared" si="5"/>
        <v>1.5602422079190352E-2</v>
      </c>
      <c r="G65">
        <f t="shared" si="9"/>
        <v>1.0019522000604815</v>
      </c>
      <c r="H65">
        <f t="shared" si="10"/>
        <v>6.2515760269945139E-2</v>
      </c>
    </row>
    <row r="66" spans="2:8" x14ac:dyDescent="0.45">
      <c r="B66">
        <f t="shared" si="8"/>
        <v>6.2515694938530181E-2</v>
      </c>
      <c r="C66">
        <f t="shared" si="2"/>
        <v>6.2434443849410423E-2</v>
      </c>
      <c r="D66">
        <f t="shared" si="3"/>
        <v>2.4832018750306051E-2</v>
      </c>
      <c r="E66">
        <f t="shared" si="4"/>
        <v>0.15602417535953098</v>
      </c>
      <c r="F66">
        <f t="shared" si="5"/>
        <v>1.5602417535953098E-2</v>
      </c>
      <c r="G66">
        <f t="shared" si="9"/>
        <v>1.0019522005134014</v>
      </c>
      <c r="H66">
        <f t="shared" si="10"/>
        <v>6.2515751182156271E-2</v>
      </c>
    </row>
    <row r="67" spans="2:8" x14ac:dyDescent="0.45">
      <c r="B67">
        <f t="shared" si="8"/>
        <v>6.2515700562892795E-2</v>
      </c>
      <c r="C67">
        <f t="shared" si="2"/>
        <v>6.2434449451877407E-2</v>
      </c>
      <c r="D67">
        <f t="shared" si="3"/>
        <v>2.4832013147839067E-2</v>
      </c>
      <c r="E67">
        <f t="shared" si="4"/>
        <v>0.15602414015819274</v>
      </c>
      <c r="F67">
        <f t="shared" si="5"/>
        <v>1.5602414015819275E-2</v>
      </c>
      <c r="G67">
        <f t="shared" si="9"/>
        <v>1.0019522008643273</v>
      </c>
      <c r="H67">
        <f t="shared" si="10"/>
        <v>6.2515744140869328E-2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Pender</dc:creator>
  <cp:lastModifiedBy>Louis Pender</cp:lastModifiedBy>
  <dcterms:created xsi:type="dcterms:W3CDTF">2025-02-25T15:51:13Z</dcterms:created>
  <dcterms:modified xsi:type="dcterms:W3CDTF">2025-02-25T18:06:09Z</dcterms:modified>
</cp:coreProperties>
</file>